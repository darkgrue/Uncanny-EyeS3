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202300"/>
  <xr:revisionPtr revIDLastSave="0" documentId="13_ncr:1_{1826034A-C705-47DA-AFBF-E4EA6845B015}" xr6:coauthVersionLast="47" xr6:coauthVersionMax="47" xr10:uidLastSave="{00000000-0000-0000-0000-000000000000}"/>
  <bookViews>
    <workbookView xWindow="2655" yWindow="-19380" windowWidth="26130" windowHeight="17430" xr2:uid="{5685A694-7E47-4534-A9E3-EB3536707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G3" i="1" s="1"/>
  <c r="F6" i="1"/>
  <c r="G6" i="1" s="1"/>
  <c r="F5" i="1"/>
  <c r="G5" i="1" s="1"/>
  <c r="F4" i="1"/>
  <c r="G4" i="1" s="1"/>
  <c r="F2" i="1"/>
  <c r="G2" i="1" s="1"/>
  <c r="G8" i="1" l="1"/>
  <c r="G9" i="1" l="1"/>
  <c r="G10" i="1" s="1"/>
</calcChain>
</file>

<file path=xl/sharedStrings.xml><?xml version="1.0" encoding="utf-8"?>
<sst xmlns="http://schemas.openxmlformats.org/spreadsheetml/2006/main" count="20" uniqueCount="18">
  <si>
    <t>Description</t>
  </si>
  <si>
    <t>Qty</t>
  </si>
  <si>
    <t>Reference Link</t>
  </si>
  <si>
    <t>Unit Cost</t>
  </si>
  <si>
    <t>Total</t>
  </si>
  <si>
    <t>Parts Total</t>
  </si>
  <si>
    <t>7.634% Tax</t>
  </si>
  <si>
    <t>Package
Price</t>
  </si>
  <si>
    <t>Gravity: Analog Ambient Light Sensor (DFR0026)</t>
  </si>
  <si>
    <t>https://www.dfrobot.com/product-1004.html</t>
  </si>
  <si>
    <t>Gravity: Offline Edge AI Gesture &amp; Face Detection Sensor (SEN0626)</t>
  </si>
  <si>
    <t>https://www.dfrobot.com/product-2914.html</t>
  </si>
  <si>
    <t>https://www.adafruit.com/product/4836</t>
  </si>
  <si>
    <t>Wii controller (Nunchuck / Wiichuck) (ID:342)</t>
  </si>
  <si>
    <t xml:space="preserve"> Adafruit Wii Nunchuck Breakout Adapter (ID:4836)</t>
  </si>
  <si>
    <t>https://www.adafruit.com/product/342</t>
  </si>
  <si>
    <t>Lilygo T-Display S3 AMOLED (DS) (H741-02)</t>
  </si>
  <si>
    <t>https://lilygo.cc/en-us/products/t-display-s3-amoled-1-64?variant=45002266345653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</si>
</sst>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1"/>
    <xf numFmtId="164" fontId="1" fillId="0" borderId="1" xfId="0" applyNumberFormat="1" applyFont="1" applyBorder="1" applyAlignment="1">
      <alignment horizontal="center" wrapText="1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0" fillId="0" borderId="2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dafruit.com/product/4836" TargetMode="External"/><Relationship Id="rId2" Type="http://schemas.openxmlformats.org/officeDocument/2006/relationships/hyperlink" Target="https://www.dfrobot.com/product-2914.html" TargetMode="External"/><Relationship Id="rId1" Type="http://schemas.openxmlformats.org/officeDocument/2006/relationships/hyperlink" Target="https://www.dfrobot.com/product-1004.htm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lilygo.cc/en-us/products/t-display-s3-amoled-1-64?variant=45002266345653" TargetMode="External"/><Relationship Id="rId4" Type="http://schemas.openxmlformats.org/officeDocument/2006/relationships/hyperlink" Target="https://www.adafruit.com/product/3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8D4D-4869-4B62-A2EA-40897FABAE3F}">
  <dimension ref="A1:G1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6" style="1" bestFit="1" customWidth="1"/>
    <col min="2" max="2" width="62.140625" bestFit="1" customWidth="1"/>
    <col min="3" max="3" width="76.42578125" bestFit="1" customWidth="1"/>
    <col min="4" max="4" width="8.28515625" style="6" bestFit="1" customWidth="1"/>
    <col min="6" max="7" width="9.140625" style="6"/>
  </cols>
  <sheetData>
    <row r="1" spans="1:7" ht="30.75" thickBot="1" x14ac:dyDescent="0.3">
      <c r="A1" s="2" t="s">
        <v>1</v>
      </c>
      <c r="B1" s="3" t="s">
        <v>0</v>
      </c>
      <c r="C1" s="3" t="s">
        <v>2</v>
      </c>
      <c r="D1" s="5" t="s">
        <v>7</v>
      </c>
      <c r="E1" s="2" t="s">
        <v>1</v>
      </c>
      <c r="F1" s="7" t="s">
        <v>3</v>
      </c>
      <c r="G1" s="7" t="s">
        <v>4</v>
      </c>
    </row>
    <row r="2" spans="1:7" x14ac:dyDescent="0.25">
      <c r="A2" s="1">
        <v>2</v>
      </c>
      <c r="B2" t="s">
        <v>16</v>
      </c>
      <c r="C2" s="4" t="s">
        <v>17</v>
      </c>
      <c r="D2" s="6">
        <v>30.25</v>
      </c>
      <c r="E2">
        <v>1</v>
      </c>
      <c r="F2" s="6">
        <f>D2/E2</f>
        <v>30.25</v>
      </c>
      <c r="G2" s="6">
        <f>F2*A2</f>
        <v>60.5</v>
      </c>
    </row>
    <row r="3" spans="1:7" x14ac:dyDescent="0.25">
      <c r="A3" s="1">
        <v>1</v>
      </c>
      <c r="B3" t="s">
        <v>14</v>
      </c>
      <c r="C3" s="4" t="s">
        <v>12</v>
      </c>
      <c r="D3" s="6">
        <v>2.95</v>
      </c>
      <c r="E3">
        <v>1</v>
      </c>
      <c r="F3" s="6">
        <f>D3/E3</f>
        <v>2.95</v>
      </c>
      <c r="G3" s="6">
        <f>F3*A3</f>
        <v>2.95</v>
      </c>
    </row>
    <row r="4" spans="1:7" x14ac:dyDescent="0.25">
      <c r="A4" s="1">
        <v>1</v>
      </c>
      <c r="B4" t="s">
        <v>13</v>
      </c>
      <c r="C4" s="4" t="s">
        <v>15</v>
      </c>
      <c r="D4" s="6">
        <v>12.5</v>
      </c>
      <c r="E4">
        <v>1</v>
      </c>
      <c r="F4" s="6">
        <f>D4/E4</f>
        <v>12.5</v>
      </c>
      <c r="G4" s="6">
        <f>F4*A4</f>
        <v>12.5</v>
      </c>
    </row>
    <row r="5" spans="1:7" x14ac:dyDescent="0.25">
      <c r="A5" s="1">
        <v>1</v>
      </c>
      <c r="B5" t="s">
        <v>8</v>
      </c>
      <c r="C5" s="4" t="s">
        <v>9</v>
      </c>
      <c r="D5" s="6">
        <v>2.6</v>
      </c>
      <c r="E5">
        <v>1</v>
      </c>
      <c r="F5" s="6">
        <f>D5/E5</f>
        <v>2.6</v>
      </c>
      <c r="G5" s="6">
        <f>F5*A5</f>
        <v>2.6</v>
      </c>
    </row>
    <row r="6" spans="1:7" x14ac:dyDescent="0.25">
      <c r="A6" s="1">
        <v>1</v>
      </c>
      <c r="B6" t="s">
        <v>10</v>
      </c>
      <c r="C6" s="4" t="s">
        <v>11</v>
      </c>
      <c r="D6" s="6">
        <v>14.9</v>
      </c>
      <c r="E6">
        <v>1</v>
      </c>
      <c r="F6" s="6">
        <f>D6/E6</f>
        <v>14.9</v>
      </c>
      <c r="G6" s="6">
        <f t="shared" ref="G6" si="0">F6*A6</f>
        <v>14.9</v>
      </c>
    </row>
    <row r="8" spans="1:7" x14ac:dyDescent="0.25">
      <c r="F8" s="8" t="s">
        <v>5</v>
      </c>
      <c r="G8" s="6">
        <f>SUM(G2:G6)</f>
        <v>93.45</v>
      </c>
    </row>
    <row r="9" spans="1:7" ht="15.75" thickBot="1" x14ac:dyDescent="0.3">
      <c r="F9" s="9" t="s">
        <v>6</v>
      </c>
      <c r="G9" s="10">
        <f>0.07634*G8</f>
        <v>7.133973000000001</v>
      </c>
    </row>
    <row r="10" spans="1:7" ht="15.75" thickTop="1" x14ac:dyDescent="0.25">
      <c r="F10" s="8" t="s">
        <v>4</v>
      </c>
      <c r="G10" s="6">
        <f>SUM(G8:G9)</f>
        <v>100.583973</v>
      </c>
    </row>
  </sheetData>
  <hyperlinks>
    <hyperlink ref="C5" r:id="rId1" xr:uid="{F6E6A065-E081-4A2A-B258-9F012B9B29E4}"/>
    <hyperlink ref="C6" r:id="rId2" xr:uid="{484D0CA1-0864-4CD2-9ADE-E76B35F31C6E}"/>
    <hyperlink ref="C3" r:id="rId3" xr:uid="{FA8D83CD-1A0E-4042-978E-1CDB352E69DC}"/>
    <hyperlink ref="C4" r:id="rId4" xr:uid="{8350EB44-5278-4CD2-808D-DC92BBC43F30}"/>
    <hyperlink ref="C2" r:id="rId5" xr:uid="{42960420-E25D-4304-BA03-A2C0DDA36281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2026-05-24T23:19:39Z</dcterms:created>
  <dcterms:modified xsi:type="dcterms:W3CDTF">2026-05-24T23:20:07Z</dcterms:modified>
</cp:coreProperties>
</file>